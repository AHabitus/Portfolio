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abitus\Desktop\Skypro\Карьерный центр\Harica\"/>
    </mc:Choice>
  </mc:AlternateContent>
  <xr:revisionPtr revIDLastSave="0" documentId="13_ncr:1_{650A9D72-3843-4AC1-9A29-9EDC5BA52726}" xr6:coauthVersionLast="47" xr6:coauthVersionMax="47" xr10:uidLastSave="{00000000-0000-0000-0000-000000000000}"/>
  <bookViews>
    <workbookView xWindow="6684" yWindow="2628" windowWidth="35868" windowHeight="22344" activeTab="2" xr2:uid="{34E3604A-B4B3-5D41-8939-7DC49779419B}"/>
  </bookViews>
  <sheets>
    <sheet name="1 месяц" sheetId="1" r:id="rId1"/>
    <sheet name="2 месяц" sheetId="2" r:id="rId2"/>
    <sheet name="Модель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4" i="4" l="1"/>
  <c r="F25" i="4" s="1"/>
  <c r="F23" i="4"/>
  <c r="F20" i="4"/>
  <c r="F21" i="4" s="1"/>
  <c r="F14" i="4"/>
  <c r="F15" i="4"/>
  <c r="F16" i="4"/>
  <c r="F17" i="4"/>
  <c r="F9" i="4"/>
  <c r="F10" i="4"/>
  <c r="F11" i="4"/>
  <c r="F5" i="4"/>
  <c r="F6" i="4"/>
  <c r="F4" i="4"/>
  <c r="E23" i="4"/>
  <c r="D23" i="4"/>
  <c r="E21" i="4"/>
  <c r="D20" i="4"/>
  <c r="D21" i="4" s="1"/>
  <c r="F18" i="4"/>
  <c r="E17" i="4"/>
  <c r="E16" i="4"/>
  <c r="D16" i="4"/>
  <c r="E15" i="4"/>
  <c r="D15" i="4"/>
  <c r="E14" i="4"/>
  <c r="D14" i="4"/>
  <c r="D18" i="4" s="1"/>
  <c r="F12" i="4"/>
  <c r="E11" i="4"/>
  <c r="D11" i="4"/>
  <c r="E10" i="4"/>
  <c r="D10" i="4"/>
  <c r="E9" i="4"/>
  <c r="E12" i="4" s="1"/>
  <c r="D9" i="4"/>
  <c r="E6" i="4"/>
  <c r="D6" i="4"/>
  <c r="E5" i="4"/>
  <c r="D5" i="4"/>
  <c r="E4" i="4"/>
  <c r="D4" i="4"/>
  <c r="F7" i="4" l="1"/>
  <c r="F22" i="4"/>
  <c r="E7" i="4"/>
  <c r="E22" i="4" s="1"/>
  <c r="D12" i="4"/>
  <c r="E18" i="4"/>
  <c r="D7" i="4"/>
  <c r="D22" i="4" s="1"/>
  <c r="D24" i="4" s="1"/>
  <c r="D25" i="4" s="1"/>
  <c r="E24" i="4"/>
  <c r="E25" i="4" s="1"/>
</calcChain>
</file>

<file path=xl/sharedStrings.xml><?xml version="1.0" encoding="utf-8"?>
<sst xmlns="http://schemas.openxmlformats.org/spreadsheetml/2006/main" count="203" uniqueCount="35">
  <si>
    <t>Размещение вакансии</t>
  </si>
  <si>
    <t>хх.ру</t>
  </si>
  <si>
    <t>работу.ру</t>
  </si>
  <si>
    <t>авито</t>
  </si>
  <si>
    <t>Рекрутер зп с проекта </t>
  </si>
  <si>
    <t>IT специалист зп с проекта </t>
  </si>
  <si>
    <t>Маркетолог зп с проекта </t>
  </si>
  <si>
    <t>Интеграция рабочих порталов к срм </t>
  </si>
  <si>
    <t>Оплата срм</t>
  </si>
  <si>
    <t>Оплата сервера</t>
  </si>
  <si>
    <t>Оплата нейробота</t>
  </si>
  <si>
    <t>Оплата телефонии</t>
  </si>
  <si>
    <t>Оплата IT-специалиста</t>
  </si>
  <si>
    <t>Оплата маркетолога</t>
  </si>
  <si>
    <t>Оплата срм на месяц</t>
  </si>
  <si>
    <t xml:space="preserve">Оплата сервера </t>
  </si>
  <si>
    <t>Выручка по проекту</t>
  </si>
  <si>
    <t>Категории  расходов</t>
  </si>
  <si>
    <t>1. З/п и выплаты</t>
  </si>
  <si>
    <t>1 месяц</t>
  </si>
  <si>
    <t>2 месяц</t>
  </si>
  <si>
    <t>Рекрутер</t>
  </si>
  <si>
    <t>Маркетолог</t>
  </si>
  <si>
    <t>Итого</t>
  </si>
  <si>
    <t>IT- специалист</t>
  </si>
  <si>
    <t>2. Размещение вакансия</t>
  </si>
  <si>
    <t>3. IT и инфраструктура</t>
  </si>
  <si>
    <t>Нейробот</t>
  </si>
  <si>
    <t>4. Прочие расходы</t>
  </si>
  <si>
    <t>Всего расходов</t>
  </si>
  <si>
    <t>Прибыль</t>
  </si>
  <si>
    <t>Рентабельность</t>
  </si>
  <si>
    <t>Итог</t>
  </si>
  <si>
    <t>Стоит исследовать эффективность площадок вакансий, рассмотреть необходимость нейробота, есть смысл рассмотреть сдельную оплату рекрутера.</t>
  </si>
  <si>
    <t>Резервы можно найти в снижении расходов на размещение вакансий на 10%, экономия около 36тр в целом, поискать альтернативные CRM.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</si>
</sst>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4"/>
      <color theme="1"/>
      <name val="Calibri"/>
      <family val="2"/>
      <charset val="204"/>
      <scheme val="minor"/>
    </font>
    <font>
      <sz val="10"/>
      <color theme="1"/>
      <name val="Helvetica Neue"/>
      <family val="2"/>
    </font>
    <font>
      <sz val="14"/>
      <color theme="1"/>
      <name val="Helvetica Neue"/>
      <family val="2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0" fillId="0" borderId="1" xfId="0" applyBorder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164" fontId="4" fillId="0" borderId="4" xfId="1" applyNumberFormat="1" applyFont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3B79-AFAB-6041-AEF4-68D15AF29EB3}">
  <dimension ref="A2:E40"/>
  <sheetViews>
    <sheetView workbookViewId="0">
      <selection activeCell="F5" sqref="F5:J25"/>
    </sheetView>
  </sheetViews>
  <sheetFormatPr defaultColWidth="10.6640625" defaultRowHeight="18"/>
  <cols>
    <col min="1" max="1" width="24.25" customWidth="1"/>
    <col min="3" max="3" width="16.75" customWidth="1"/>
    <col min="6" max="6" width="31" bestFit="1" customWidth="1"/>
  </cols>
  <sheetData>
    <row r="2" spans="1:5">
      <c r="A2" s="1" t="s">
        <v>0</v>
      </c>
      <c r="B2" s="1" t="s">
        <v>1</v>
      </c>
      <c r="C2" s="1">
        <v>1000</v>
      </c>
      <c r="D2" s="1"/>
      <c r="E2" s="1"/>
    </row>
    <row r="3" spans="1:5">
      <c r="A3" s="1" t="s">
        <v>0</v>
      </c>
      <c r="B3" s="1" t="s">
        <v>2</v>
      </c>
      <c r="C3" s="1">
        <v>1500</v>
      </c>
      <c r="D3" s="1"/>
      <c r="E3" s="1"/>
    </row>
    <row r="4" spans="1:5">
      <c r="A4" s="1" t="s">
        <v>0</v>
      </c>
      <c r="B4" s="1" t="s">
        <v>2</v>
      </c>
      <c r="C4" s="1">
        <v>1500</v>
      </c>
      <c r="D4" s="1"/>
      <c r="E4" s="1"/>
    </row>
    <row r="5" spans="1:5">
      <c r="A5" s="1" t="s">
        <v>11</v>
      </c>
      <c r="B5" s="1"/>
      <c r="C5" s="1">
        <v>15000</v>
      </c>
      <c r="D5" s="1"/>
      <c r="E5" s="1"/>
    </row>
    <row r="6" spans="1:5">
      <c r="A6" s="1" t="s">
        <v>0</v>
      </c>
      <c r="B6" s="1" t="s">
        <v>2</v>
      </c>
      <c r="C6" s="1">
        <v>1500</v>
      </c>
      <c r="D6" s="1"/>
      <c r="E6" s="1"/>
    </row>
    <row r="7" spans="1:5">
      <c r="A7" s="1" t="s">
        <v>0</v>
      </c>
      <c r="B7" s="1" t="s">
        <v>2</v>
      </c>
      <c r="C7" s="1">
        <v>1500</v>
      </c>
      <c r="D7" s="1"/>
      <c r="E7" s="1"/>
    </row>
    <row r="8" spans="1:5">
      <c r="A8" s="1" t="s">
        <v>0</v>
      </c>
      <c r="B8" s="1" t="s">
        <v>2</v>
      </c>
      <c r="C8" s="1">
        <v>1500</v>
      </c>
      <c r="D8" s="1"/>
      <c r="E8" s="1"/>
    </row>
    <row r="9" spans="1:5">
      <c r="A9" s="1" t="s">
        <v>0</v>
      </c>
      <c r="B9" s="1" t="s">
        <v>2</v>
      </c>
      <c r="C9" s="1">
        <v>1500</v>
      </c>
      <c r="D9" s="1"/>
      <c r="E9" s="1"/>
    </row>
    <row r="10" spans="1:5">
      <c r="A10" s="1" t="s">
        <v>0</v>
      </c>
      <c r="B10" s="1" t="s">
        <v>1</v>
      </c>
      <c r="C10" s="1">
        <v>5000</v>
      </c>
      <c r="D10" s="1"/>
      <c r="E10" s="1"/>
    </row>
    <row r="11" spans="1:5">
      <c r="A11" s="1" t="s">
        <v>7</v>
      </c>
      <c r="B11" s="1"/>
      <c r="C11" s="1">
        <v>15000</v>
      </c>
      <c r="D11" s="1"/>
      <c r="E11" s="2"/>
    </row>
    <row r="12" spans="1:5">
      <c r="A12" s="1" t="s">
        <v>0</v>
      </c>
      <c r="B12" s="1" t="s">
        <v>1</v>
      </c>
      <c r="C12" s="1">
        <v>5000</v>
      </c>
      <c r="D12" s="1"/>
      <c r="E12" s="1"/>
    </row>
    <row r="13" spans="1:5">
      <c r="A13" s="1" t="s">
        <v>0</v>
      </c>
      <c r="B13" s="1" t="s">
        <v>1</v>
      </c>
      <c r="C13" s="1">
        <v>11000</v>
      </c>
      <c r="D13" s="1"/>
      <c r="E13" s="1"/>
    </row>
    <row r="14" spans="1:5">
      <c r="A14" s="1" t="s">
        <v>0</v>
      </c>
      <c r="B14" s="1" t="s">
        <v>2</v>
      </c>
      <c r="C14" s="1">
        <v>2800</v>
      </c>
      <c r="D14" s="1"/>
      <c r="E14" s="1"/>
    </row>
    <row r="15" spans="1:5">
      <c r="A15" s="1" t="s">
        <v>0</v>
      </c>
      <c r="B15" s="1" t="s">
        <v>1</v>
      </c>
      <c r="C15" s="1">
        <v>5000</v>
      </c>
      <c r="D15" s="1"/>
      <c r="E15" s="1"/>
    </row>
    <row r="16" spans="1:5">
      <c r="A16" s="1" t="s">
        <v>0</v>
      </c>
      <c r="B16" s="1" t="s">
        <v>1</v>
      </c>
      <c r="C16" s="1">
        <v>5000</v>
      </c>
      <c r="D16" s="1"/>
      <c r="E16" s="1"/>
    </row>
    <row r="17" spans="1:5">
      <c r="A17" s="1" t="s">
        <v>0</v>
      </c>
      <c r="B17" s="1" t="s">
        <v>1</v>
      </c>
      <c r="C17" s="1">
        <v>5000</v>
      </c>
      <c r="D17" s="1"/>
      <c r="E17" s="1"/>
    </row>
    <row r="18" spans="1:5">
      <c r="A18" s="1" t="s">
        <v>12</v>
      </c>
      <c r="B18" s="1"/>
      <c r="C18" s="1">
        <v>20000</v>
      </c>
      <c r="D18" s="1"/>
      <c r="E18" s="1"/>
    </row>
    <row r="19" spans="1:5">
      <c r="A19" s="1" t="s">
        <v>0</v>
      </c>
      <c r="B19" s="1" t="s">
        <v>1</v>
      </c>
      <c r="C19" s="1">
        <v>5000</v>
      </c>
      <c r="D19" s="1"/>
      <c r="E19" s="1"/>
    </row>
    <row r="20" spans="1:5">
      <c r="A20" s="1" t="s">
        <v>0</v>
      </c>
      <c r="B20" s="1" t="s">
        <v>1</v>
      </c>
      <c r="C20" s="1">
        <v>5000</v>
      </c>
      <c r="D20" s="1"/>
      <c r="E20" s="1"/>
    </row>
    <row r="21" spans="1:5">
      <c r="A21" s="1" t="s">
        <v>0</v>
      </c>
      <c r="B21" s="1" t="s">
        <v>1</v>
      </c>
      <c r="C21" s="1">
        <v>5000</v>
      </c>
      <c r="D21" s="1"/>
      <c r="E21" s="1"/>
    </row>
    <row r="22" spans="1:5">
      <c r="A22" s="1" t="s">
        <v>0</v>
      </c>
      <c r="B22" s="1" t="s">
        <v>1</v>
      </c>
      <c r="C22" s="1">
        <v>5000</v>
      </c>
      <c r="D22" s="1"/>
      <c r="E22" s="1"/>
    </row>
    <row r="23" spans="1:5">
      <c r="A23" s="1" t="s">
        <v>0</v>
      </c>
      <c r="B23" s="1" t="s">
        <v>1</v>
      </c>
      <c r="C23" s="1">
        <v>5000</v>
      </c>
      <c r="D23" s="1"/>
      <c r="E23" s="1"/>
    </row>
    <row r="24" spans="1:5">
      <c r="A24" s="1" t="s">
        <v>0</v>
      </c>
      <c r="B24" s="1" t="s">
        <v>3</v>
      </c>
      <c r="C24" s="1">
        <v>30000</v>
      </c>
      <c r="D24" s="1"/>
      <c r="E24" s="1"/>
    </row>
    <row r="25" spans="1:5">
      <c r="A25" s="1" t="s">
        <v>0</v>
      </c>
      <c r="B25" s="1" t="s">
        <v>1</v>
      </c>
      <c r="C25" s="1">
        <v>1500</v>
      </c>
      <c r="D25" s="1"/>
      <c r="E25" s="1"/>
    </row>
    <row r="26" spans="1:5">
      <c r="A26" s="1" t="s">
        <v>0</v>
      </c>
      <c r="B26" s="1" t="s">
        <v>1</v>
      </c>
      <c r="C26" s="1">
        <v>1500</v>
      </c>
      <c r="D26" s="1"/>
      <c r="E26" s="1"/>
    </row>
    <row r="27" spans="1:5">
      <c r="A27" s="1" t="s">
        <v>0</v>
      </c>
      <c r="B27" s="1" t="s">
        <v>1</v>
      </c>
      <c r="C27" s="1">
        <v>5000</v>
      </c>
      <c r="D27" s="1"/>
      <c r="E27" s="1"/>
    </row>
    <row r="28" spans="1:5">
      <c r="A28" s="1" t="s">
        <v>14</v>
      </c>
      <c r="B28" s="1"/>
      <c r="C28" s="1">
        <v>6000</v>
      </c>
      <c r="D28" s="1"/>
      <c r="E28" s="1"/>
    </row>
    <row r="29" spans="1:5">
      <c r="A29" s="1" t="s">
        <v>0</v>
      </c>
      <c r="B29" s="1" t="s">
        <v>1</v>
      </c>
      <c r="C29" s="1">
        <v>5000</v>
      </c>
      <c r="D29" s="1"/>
      <c r="E29" s="1"/>
    </row>
    <row r="30" spans="1:5">
      <c r="A30" s="1" t="s">
        <v>0</v>
      </c>
      <c r="B30" s="1" t="s">
        <v>1</v>
      </c>
      <c r="C30" s="1">
        <v>1759</v>
      </c>
      <c r="D30" s="1"/>
      <c r="E30" s="1"/>
    </row>
    <row r="31" spans="1:5">
      <c r="A31" s="1" t="s">
        <v>0</v>
      </c>
      <c r="B31" s="1" t="s">
        <v>3</v>
      </c>
      <c r="C31" s="1">
        <v>1000</v>
      </c>
      <c r="D31" s="1"/>
      <c r="E31" s="1"/>
    </row>
    <row r="32" spans="1:5">
      <c r="A32" s="1" t="s">
        <v>0</v>
      </c>
      <c r="B32" s="1" t="s">
        <v>1</v>
      </c>
      <c r="C32" s="1">
        <v>1500</v>
      </c>
      <c r="D32" s="1"/>
      <c r="E32" s="1"/>
    </row>
    <row r="33" spans="1:5">
      <c r="A33" s="1" t="s">
        <v>0</v>
      </c>
      <c r="B33" s="1" t="s">
        <v>1</v>
      </c>
      <c r="C33" s="1">
        <v>1500</v>
      </c>
      <c r="D33" s="1"/>
      <c r="E33" s="1"/>
    </row>
    <row r="34" spans="1:5">
      <c r="A34" s="1" t="s">
        <v>0</v>
      </c>
      <c r="B34" s="1" t="s">
        <v>1</v>
      </c>
      <c r="C34" s="1">
        <v>5000</v>
      </c>
      <c r="D34" s="1"/>
      <c r="E34" s="1"/>
    </row>
    <row r="35" spans="1:5">
      <c r="A35" s="1" t="s">
        <v>0</v>
      </c>
      <c r="B35" s="1" t="s">
        <v>1</v>
      </c>
      <c r="C35" s="1">
        <v>5000</v>
      </c>
      <c r="D35" s="1"/>
      <c r="E35" s="1"/>
    </row>
    <row r="36" spans="1:5">
      <c r="A36" s="1" t="s">
        <v>4</v>
      </c>
      <c r="B36" s="1"/>
      <c r="C36" s="1">
        <v>75000</v>
      </c>
      <c r="D36" s="1"/>
      <c r="E36" s="1"/>
    </row>
    <row r="37" spans="1:5">
      <c r="A37" s="1" t="s">
        <v>13</v>
      </c>
      <c r="B37" s="1"/>
      <c r="C37" s="1">
        <v>15000</v>
      </c>
      <c r="D37" s="1"/>
      <c r="E37" s="1"/>
    </row>
    <row r="38" spans="1:5">
      <c r="A38" s="1" t="s">
        <v>15</v>
      </c>
      <c r="B38" s="1"/>
      <c r="C38" s="1">
        <v>3000</v>
      </c>
      <c r="D38" s="1"/>
      <c r="E38" s="1"/>
    </row>
    <row r="40" spans="1:5">
      <c r="A40" s="1" t="s">
        <v>16</v>
      </c>
      <c r="B40" s="1">
        <v>420000</v>
      </c>
      <c r="C40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91C35-0FE2-4347-A5BB-A25B1A645E20}">
  <dimension ref="A1:C61"/>
  <sheetViews>
    <sheetView zoomScale="70" zoomScaleNormal="70" workbookViewId="0">
      <selection activeCell="C1" sqref="C1:C56"/>
    </sheetView>
  </sheetViews>
  <sheetFormatPr defaultColWidth="10.75" defaultRowHeight="13.2"/>
  <cols>
    <col min="1" max="1" width="26.1640625" style="1" bestFit="1" customWidth="1"/>
    <col min="2" max="5" width="10.75" style="1"/>
    <col min="6" max="6" width="31" style="1" bestFit="1" customWidth="1"/>
    <col min="7" max="16384" width="10.75" style="1"/>
  </cols>
  <sheetData>
    <row r="1" spans="1:3" ht="16.8" customHeight="1">
      <c r="A1" s="3" t="s">
        <v>0</v>
      </c>
      <c r="B1" s="3" t="s">
        <v>1</v>
      </c>
      <c r="C1" s="3">
        <v>1000</v>
      </c>
    </row>
    <row r="2" spans="1:3" ht="19.95" customHeight="1">
      <c r="A2" s="3" t="s">
        <v>0</v>
      </c>
      <c r="B2" s="3" t="s">
        <v>2</v>
      </c>
      <c r="C2" s="3">
        <v>1500</v>
      </c>
    </row>
    <row r="3" spans="1:3" ht="19.95" customHeight="1">
      <c r="A3" s="3" t="s">
        <v>0</v>
      </c>
      <c r="B3" s="3" t="s">
        <v>2</v>
      </c>
      <c r="C3" s="3">
        <v>1500</v>
      </c>
    </row>
    <row r="4" spans="1:3" ht="19.95" customHeight="1">
      <c r="A4" s="3" t="s">
        <v>0</v>
      </c>
      <c r="B4" s="3" t="s">
        <v>1</v>
      </c>
      <c r="C4" s="3">
        <v>5000</v>
      </c>
    </row>
    <row r="5" spans="1:3" ht="19.95" customHeight="1">
      <c r="A5" s="3" t="s">
        <v>0</v>
      </c>
      <c r="B5" s="3" t="s">
        <v>1</v>
      </c>
      <c r="C5" s="3">
        <v>5000</v>
      </c>
    </row>
    <row r="6" spans="1:3" ht="19.95" customHeight="1">
      <c r="A6" s="3" t="s">
        <v>7</v>
      </c>
      <c r="B6" s="3"/>
      <c r="C6" s="3">
        <v>15000</v>
      </c>
    </row>
    <row r="7" spans="1:3" ht="19.95" customHeight="1">
      <c r="A7" s="3" t="s">
        <v>0</v>
      </c>
      <c r="B7" s="3" t="s">
        <v>1</v>
      </c>
      <c r="C7" s="3">
        <v>5000</v>
      </c>
    </row>
    <row r="8" spans="1:3" ht="19.95" customHeight="1">
      <c r="A8" s="3" t="s">
        <v>0</v>
      </c>
      <c r="B8" s="3" t="s">
        <v>1</v>
      </c>
      <c r="C8" s="3">
        <v>5000</v>
      </c>
    </row>
    <row r="9" spans="1:3" ht="19.95" customHeight="1">
      <c r="A9" s="3" t="s">
        <v>0</v>
      </c>
      <c r="B9" s="3" t="s">
        <v>1</v>
      </c>
      <c r="C9" s="3">
        <v>5000</v>
      </c>
    </row>
    <row r="10" spans="1:3" ht="19.95" customHeight="1">
      <c r="A10" s="3" t="s">
        <v>0</v>
      </c>
      <c r="B10" s="3" t="s">
        <v>1</v>
      </c>
      <c r="C10" s="3">
        <v>5000</v>
      </c>
    </row>
    <row r="11" spans="1:3" ht="19.95" customHeight="1">
      <c r="A11" s="3" t="s">
        <v>0</v>
      </c>
      <c r="B11" s="3" t="s">
        <v>3</v>
      </c>
      <c r="C11" s="3">
        <v>30000</v>
      </c>
    </row>
    <row r="12" spans="1:3" ht="19.95" customHeight="1">
      <c r="A12" s="3" t="s">
        <v>0</v>
      </c>
      <c r="B12" s="3" t="s">
        <v>1</v>
      </c>
      <c r="C12" s="3">
        <v>1500</v>
      </c>
    </row>
    <row r="13" spans="1:3" ht="19.95" customHeight="1">
      <c r="A13" s="3" t="s">
        <v>0</v>
      </c>
      <c r="B13" s="3" t="s">
        <v>1</v>
      </c>
      <c r="C13" s="3">
        <v>1500</v>
      </c>
    </row>
    <row r="14" spans="1:3" ht="19.95" customHeight="1">
      <c r="A14" s="3" t="s">
        <v>0</v>
      </c>
      <c r="B14" s="3" t="s">
        <v>1</v>
      </c>
      <c r="C14" s="3">
        <v>5000</v>
      </c>
    </row>
    <row r="15" spans="1:3" ht="19.95" customHeight="1">
      <c r="A15" s="3" t="s">
        <v>8</v>
      </c>
      <c r="B15" s="3"/>
      <c r="C15" s="3">
        <v>6000</v>
      </c>
    </row>
    <row r="16" spans="1:3" ht="19.95" customHeight="1">
      <c r="A16" s="3" t="s">
        <v>0</v>
      </c>
      <c r="B16" s="3" t="s">
        <v>1</v>
      </c>
      <c r="C16" s="3">
        <v>5000</v>
      </c>
    </row>
    <row r="17" spans="1:3" ht="19.95" customHeight="1">
      <c r="A17" s="3" t="s">
        <v>0</v>
      </c>
      <c r="B17" s="3" t="s">
        <v>1</v>
      </c>
      <c r="C17" s="3">
        <v>5000</v>
      </c>
    </row>
    <row r="18" spans="1:3" ht="19.95" customHeight="1">
      <c r="A18" s="3" t="s">
        <v>0</v>
      </c>
      <c r="B18" s="3" t="s">
        <v>1</v>
      </c>
      <c r="C18" s="3">
        <v>5000</v>
      </c>
    </row>
    <row r="19" spans="1:3" ht="19.95" customHeight="1">
      <c r="A19" s="3" t="s">
        <v>0</v>
      </c>
      <c r="B19" s="3" t="s">
        <v>1</v>
      </c>
      <c r="C19" s="3">
        <v>5000</v>
      </c>
    </row>
    <row r="20" spans="1:3" ht="19.95" customHeight="1">
      <c r="A20" s="3" t="s">
        <v>0</v>
      </c>
      <c r="B20" s="3" t="s">
        <v>1</v>
      </c>
      <c r="C20" s="3">
        <v>5000</v>
      </c>
    </row>
    <row r="21" spans="1:3" ht="19.95" customHeight="1">
      <c r="A21" s="3" t="s">
        <v>10</v>
      </c>
      <c r="B21" s="3"/>
      <c r="C21" s="3">
        <v>22000</v>
      </c>
    </row>
    <row r="22" spans="1:3" ht="19.95" customHeight="1">
      <c r="A22" s="3" t="s">
        <v>0</v>
      </c>
      <c r="B22" s="3" t="s">
        <v>1</v>
      </c>
      <c r="C22" s="3">
        <v>5000</v>
      </c>
    </row>
    <row r="23" spans="1:3" ht="19.95" customHeight="1">
      <c r="A23" s="3" t="s">
        <v>0</v>
      </c>
      <c r="B23" s="3" t="s">
        <v>1</v>
      </c>
      <c r="C23" s="3">
        <v>1000</v>
      </c>
    </row>
    <row r="24" spans="1:3" ht="19.95" customHeight="1">
      <c r="A24" s="3" t="s">
        <v>0</v>
      </c>
      <c r="B24" s="3" t="s">
        <v>2</v>
      </c>
      <c r="C24" s="3">
        <v>1500</v>
      </c>
    </row>
    <row r="25" spans="1:3" ht="19.95" customHeight="1">
      <c r="A25" s="3" t="s">
        <v>0</v>
      </c>
      <c r="B25" s="3" t="s">
        <v>2</v>
      </c>
      <c r="C25" s="3">
        <v>1500</v>
      </c>
    </row>
    <row r="26" spans="1:3" ht="19.95" customHeight="1">
      <c r="A26" s="3" t="s">
        <v>0</v>
      </c>
      <c r="B26" s="3" t="s">
        <v>2</v>
      </c>
      <c r="C26" s="3">
        <v>1500</v>
      </c>
    </row>
    <row r="27" spans="1:3" ht="19.95" customHeight="1">
      <c r="A27" s="3" t="s">
        <v>0</v>
      </c>
      <c r="B27" s="3" t="s">
        <v>2</v>
      </c>
      <c r="C27" s="3">
        <v>1500</v>
      </c>
    </row>
    <row r="28" spans="1:3" ht="19.95" customHeight="1">
      <c r="A28" s="3" t="s">
        <v>0</v>
      </c>
      <c r="B28" s="3" t="s">
        <v>2</v>
      </c>
      <c r="C28" s="3">
        <v>1500</v>
      </c>
    </row>
    <row r="29" spans="1:3" ht="19.95" customHeight="1">
      <c r="A29" s="3" t="s">
        <v>0</v>
      </c>
      <c r="B29" s="3" t="s">
        <v>2</v>
      </c>
      <c r="C29" s="3">
        <v>1500</v>
      </c>
    </row>
    <row r="30" spans="1:3" ht="19.95" customHeight="1">
      <c r="A30" s="3" t="s">
        <v>0</v>
      </c>
      <c r="B30" s="3" t="s">
        <v>1</v>
      </c>
      <c r="C30" s="3">
        <v>5000</v>
      </c>
    </row>
    <row r="31" spans="1:3" ht="19.95" customHeight="1">
      <c r="A31" s="3" t="s">
        <v>0</v>
      </c>
      <c r="B31" s="3" t="s">
        <v>1</v>
      </c>
      <c r="C31" s="3">
        <v>5000</v>
      </c>
    </row>
    <row r="32" spans="1:3" ht="19.95" customHeight="1">
      <c r="A32" s="3" t="s">
        <v>0</v>
      </c>
      <c r="B32" s="3" t="s">
        <v>1</v>
      </c>
      <c r="C32" s="3">
        <v>11000</v>
      </c>
    </row>
    <row r="33" spans="1:3" ht="19.95" customHeight="1">
      <c r="A33" s="3" t="s">
        <v>0</v>
      </c>
      <c r="B33" s="3" t="s">
        <v>2</v>
      </c>
      <c r="C33" s="3">
        <v>2800</v>
      </c>
    </row>
    <row r="34" spans="1:3" ht="19.95" customHeight="1">
      <c r="A34" s="3" t="s">
        <v>5</v>
      </c>
      <c r="B34" s="3"/>
      <c r="C34" s="3">
        <v>20000</v>
      </c>
    </row>
    <row r="35" spans="1:3" ht="19.95" customHeight="1">
      <c r="A35" s="3" t="s">
        <v>0</v>
      </c>
      <c r="B35" s="3" t="s">
        <v>1</v>
      </c>
      <c r="C35" s="3">
        <v>5000</v>
      </c>
    </row>
    <row r="36" spans="1:3" ht="19.95" customHeight="1">
      <c r="A36" s="3" t="s">
        <v>0</v>
      </c>
      <c r="B36" s="3" t="s">
        <v>1</v>
      </c>
      <c r="C36" s="3">
        <v>5000</v>
      </c>
    </row>
    <row r="37" spans="1:3" ht="19.95" customHeight="1">
      <c r="A37" s="3" t="s">
        <v>0</v>
      </c>
      <c r="B37" s="3" t="s">
        <v>1</v>
      </c>
      <c r="C37" s="3">
        <v>5000</v>
      </c>
    </row>
    <row r="38" spans="1:3" ht="19.95" customHeight="1">
      <c r="A38" s="3" t="s">
        <v>0</v>
      </c>
      <c r="B38" s="3" t="s">
        <v>1</v>
      </c>
      <c r="C38" s="3">
        <v>5000</v>
      </c>
    </row>
    <row r="39" spans="1:3" ht="19.95" customHeight="1">
      <c r="A39" s="3" t="s">
        <v>0</v>
      </c>
      <c r="B39" s="3" t="s">
        <v>1</v>
      </c>
      <c r="C39" s="3">
        <v>5000</v>
      </c>
    </row>
    <row r="40" spans="1:3" ht="19.95" customHeight="1">
      <c r="A40" s="3" t="s">
        <v>0</v>
      </c>
      <c r="B40" s="3" t="s">
        <v>1</v>
      </c>
      <c r="C40" s="3">
        <v>5000</v>
      </c>
    </row>
    <row r="41" spans="1:3" ht="19.95" customHeight="1">
      <c r="A41" s="3" t="s">
        <v>4</v>
      </c>
      <c r="B41" s="3"/>
      <c r="C41" s="3">
        <v>30000</v>
      </c>
    </row>
    <row r="42" spans="1:3" ht="19.95" customHeight="1">
      <c r="A42" s="3" t="s">
        <v>0</v>
      </c>
      <c r="B42" s="3" t="s">
        <v>1</v>
      </c>
      <c r="C42" s="3">
        <v>5000</v>
      </c>
    </row>
    <row r="43" spans="1:3" ht="19.95" customHeight="1">
      <c r="A43" s="3" t="s">
        <v>0</v>
      </c>
      <c r="B43" s="3" t="s">
        <v>1</v>
      </c>
      <c r="C43" s="3">
        <v>5000</v>
      </c>
    </row>
    <row r="44" spans="1:3" ht="19.95" customHeight="1">
      <c r="A44" s="3" t="s">
        <v>0</v>
      </c>
      <c r="B44" s="3" t="s">
        <v>3</v>
      </c>
      <c r="C44" s="3">
        <v>30000</v>
      </c>
    </row>
    <row r="45" spans="1:3" ht="19.95" customHeight="1">
      <c r="A45" s="3" t="s">
        <v>0</v>
      </c>
      <c r="B45" s="3" t="s">
        <v>1</v>
      </c>
      <c r="C45" s="3">
        <v>1500</v>
      </c>
    </row>
    <row r="46" spans="1:3" ht="19.95" customHeight="1">
      <c r="A46" s="3" t="s">
        <v>0</v>
      </c>
      <c r="B46" s="3" t="s">
        <v>1</v>
      </c>
      <c r="C46" s="3">
        <v>1500</v>
      </c>
    </row>
    <row r="47" spans="1:3" ht="19.95" customHeight="1">
      <c r="A47" s="3" t="s">
        <v>6</v>
      </c>
      <c r="B47" s="3"/>
      <c r="C47" s="3">
        <v>15000</v>
      </c>
    </row>
    <row r="48" spans="1:3" ht="19.95" customHeight="1">
      <c r="A48" s="3" t="s">
        <v>0</v>
      </c>
      <c r="B48" s="3" t="s">
        <v>1</v>
      </c>
      <c r="C48" s="3">
        <v>5000</v>
      </c>
    </row>
    <row r="49" spans="1:3" ht="19.95" customHeight="1">
      <c r="A49" s="3" t="s">
        <v>0</v>
      </c>
      <c r="B49" s="3" t="s">
        <v>1</v>
      </c>
      <c r="C49" s="3">
        <v>5000</v>
      </c>
    </row>
    <row r="50" spans="1:3" ht="19.95" customHeight="1">
      <c r="A50" s="3" t="s">
        <v>0</v>
      </c>
      <c r="B50" s="3" t="s">
        <v>1</v>
      </c>
      <c r="C50" s="3">
        <v>1759</v>
      </c>
    </row>
    <row r="51" spans="1:3" ht="19.95" customHeight="1">
      <c r="A51" s="3" t="s">
        <v>0</v>
      </c>
      <c r="B51" s="3" t="s">
        <v>3</v>
      </c>
      <c r="C51" s="3">
        <v>1000</v>
      </c>
    </row>
    <row r="52" spans="1:3" ht="19.95" customHeight="1">
      <c r="A52" s="3" t="s">
        <v>0</v>
      </c>
      <c r="B52" s="3" t="s">
        <v>1</v>
      </c>
      <c r="C52" s="3">
        <v>1500</v>
      </c>
    </row>
    <row r="53" spans="1:3" ht="19.95" customHeight="1">
      <c r="A53" s="3" t="s">
        <v>0</v>
      </c>
      <c r="B53" s="3" t="s">
        <v>1</v>
      </c>
      <c r="C53" s="3">
        <v>1500</v>
      </c>
    </row>
    <row r="54" spans="1:3" ht="19.95" customHeight="1">
      <c r="A54" s="3" t="s">
        <v>0</v>
      </c>
      <c r="B54" s="3" t="s">
        <v>1</v>
      </c>
      <c r="C54" s="3">
        <v>5000</v>
      </c>
    </row>
    <row r="55" spans="1:3" ht="19.95" customHeight="1">
      <c r="A55" s="3" t="s">
        <v>0</v>
      </c>
      <c r="B55" s="3" t="s">
        <v>1</v>
      </c>
      <c r="C55" s="3">
        <v>5000</v>
      </c>
    </row>
    <row r="56" spans="1:3" ht="19.95" customHeight="1">
      <c r="A56" s="3" t="s">
        <v>9</v>
      </c>
      <c r="B56" s="3"/>
      <c r="C56" s="3">
        <v>6000</v>
      </c>
    </row>
    <row r="57" spans="1:3" ht="19.95" customHeight="1">
      <c r="A57" s="3"/>
      <c r="B57" s="3"/>
      <c r="C57" s="3"/>
    </row>
    <row r="58" spans="1:3" ht="19.95" customHeight="1">
      <c r="A58" s="3" t="s">
        <v>16</v>
      </c>
      <c r="B58" s="3">
        <v>510000</v>
      </c>
      <c r="C58" s="3"/>
    </row>
    <row r="59" spans="1:3" ht="19.95" customHeight="1">
      <c r="A59" s="3"/>
      <c r="B59" s="3"/>
      <c r="C59" s="3"/>
    </row>
    <row r="60" spans="1:3" ht="19.95" customHeight="1">
      <c r="A60" s="3"/>
      <c r="B60" s="3"/>
      <c r="C60" s="3"/>
    </row>
    <row r="61" spans="1:3" ht="19.95" customHeight="1">
      <c r="A61" s="3"/>
      <c r="B61" s="3"/>
      <c r="C6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2967-CFC7-491C-98E3-EE28A044C3F4}">
  <dimension ref="C2:H25"/>
  <sheetViews>
    <sheetView tabSelected="1" workbookViewId="0">
      <selection activeCell="H8" sqref="H8"/>
    </sheetView>
  </sheetViews>
  <sheetFormatPr defaultRowHeight="18"/>
  <cols>
    <col min="3" max="3" width="31" bestFit="1" customWidth="1"/>
  </cols>
  <sheetData>
    <row r="2" spans="3:8">
      <c r="C2" s="5" t="s">
        <v>17</v>
      </c>
      <c r="D2" s="5" t="s">
        <v>19</v>
      </c>
      <c r="E2" s="5" t="s">
        <v>20</v>
      </c>
      <c r="F2" s="5" t="s">
        <v>32</v>
      </c>
    </row>
    <row r="3" spans="3:8">
      <c r="C3" s="4" t="s">
        <v>18</v>
      </c>
      <c r="D3" s="4"/>
      <c r="E3" s="4"/>
      <c r="F3" s="4"/>
    </row>
    <row r="4" spans="3:8">
      <c r="C4" s="4" t="s">
        <v>21</v>
      </c>
      <c r="D4" s="4">
        <f>'1 месяц'!C36</f>
        <v>75000</v>
      </c>
      <c r="E4" s="4">
        <f>'2 месяц'!C41</f>
        <v>30000</v>
      </c>
      <c r="F4" s="4">
        <f>SUM(D4:E4)</f>
        <v>105000</v>
      </c>
    </row>
    <row r="5" spans="3:8">
      <c r="C5" s="4" t="s">
        <v>24</v>
      </c>
      <c r="D5" s="4">
        <f>'1 месяц'!C18</f>
        <v>20000</v>
      </c>
      <c r="E5" s="4">
        <f>'2 месяц'!C34</f>
        <v>20000</v>
      </c>
      <c r="F5" s="4">
        <f t="shared" ref="F5:F6" si="0">SUM(D5:E5)</f>
        <v>40000</v>
      </c>
    </row>
    <row r="6" spans="3:8">
      <c r="C6" s="4" t="s">
        <v>22</v>
      </c>
      <c r="D6" s="4">
        <f>'1 месяц'!C37</f>
        <v>15000</v>
      </c>
      <c r="E6" s="4">
        <f>'2 месяц'!C47</f>
        <v>15000</v>
      </c>
      <c r="F6" s="4">
        <f t="shared" si="0"/>
        <v>30000</v>
      </c>
    </row>
    <row r="7" spans="3:8">
      <c r="C7" s="5" t="s">
        <v>23</v>
      </c>
      <c r="D7" s="5">
        <f>SUM(D4:D6)</f>
        <v>110000</v>
      </c>
      <c r="E7" s="5">
        <f>SUM(E4:E6)</f>
        <v>65000</v>
      </c>
      <c r="F7" s="5">
        <f>SUM(F4:F6)</f>
        <v>175000</v>
      </c>
      <c r="H7" t="s">
        <v>33</v>
      </c>
    </row>
    <row r="8" spans="3:8">
      <c r="C8" s="4" t="s">
        <v>25</v>
      </c>
      <c r="D8" s="4"/>
      <c r="E8" s="4"/>
      <c r="F8" s="4"/>
      <c r="H8" t="s">
        <v>34</v>
      </c>
    </row>
    <row r="9" spans="3:8">
      <c r="C9" s="4" t="s">
        <v>1</v>
      </c>
      <c r="D9" s="4">
        <f>SUM('1 месяц'!C2,'1 месяц'!C10,'1 месяц'!C12:C13,'1 месяц'!C15:C17,'1 месяц'!C19:C23,'1 месяц'!C25:C27,'1 месяц'!C29:C30,'1 месяц'!C32:C35)</f>
        <v>89759</v>
      </c>
      <c r="E9" s="4">
        <f>SUM('2 месяц'!C1,'2 месяц'!C4:C5,'2 месяц'!C7:C10,'2 месяц'!C12:C14,'2 месяц'!C16:C20,'2 месяц'!C22:C23,'2 месяц'!C30:C32,'2 месяц'!C35:C40,'2 месяц'!C42:C43,'2 месяц'!C45:C46,'2 месяц'!C48:C50,'2 месяц'!C52:C55)</f>
        <v>158759</v>
      </c>
      <c r="F9" s="4">
        <f t="shared" ref="F9:F11" si="1">SUM(D9:E9)</f>
        <v>248518</v>
      </c>
    </row>
    <row r="10" spans="3:8">
      <c r="C10" s="4" t="s">
        <v>2</v>
      </c>
      <c r="D10" s="4">
        <f>SUM('1 месяц'!C3:C4,'1 месяц'!C6:C9,'1 месяц'!C14)</f>
        <v>11800</v>
      </c>
      <c r="E10" s="4">
        <f>SUM('2 месяц'!C2:C3,'2 месяц'!C24:C29,'2 месяц'!C33)</f>
        <v>14800</v>
      </c>
      <c r="F10" s="4">
        <f t="shared" si="1"/>
        <v>26600</v>
      </c>
    </row>
    <row r="11" spans="3:8">
      <c r="C11" s="4" t="s">
        <v>3</v>
      </c>
      <c r="D11" s="4">
        <f>'1 месяц'!C31+'1 месяц'!C24</f>
        <v>31000</v>
      </c>
      <c r="E11" s="4">
        <f>SUM('2 месяц'!C11,'2 месяц'!C44,'2 месяц'!C51)</f>
        <v>61000</v>
      </c>
      <c r="F11" s="4">
        <f t="shared" si="1"/>
        <v>92000</v>
      </c>
    </row>
    <row r="12" spans="3:8">
      <c r="C12" s="5" t="s">
        <v>23</v>
      </c>
      <c r="D12" s="5">
        <f>SUM(D9:D11)</f>
        <v>132559</v>
      </c>
      <c r="E12" s="5">
        <f>SUM(E9:E11)</f>
        <v>234559</v>
      </c>
      <c r="F12" s="5">
        <f>SUM(F9:F11)</f>
        <v>367118</v>
      </c>
    </row>
    <row r="13" spans="3:8">
      <c r="C13" s="4" t="s">
        <v>26</v>
      </c>
      <c r="D13" s="4"/>
      <c r="E13" s="4"/>
      <c r="F13" s="4"/>
    </row>
    <row r="14" spans="3:8">
      <c r="C14" s="4" t="s">
        <v>7</v>
      </c>
      <c r="D14" s="4">
        <f>'1 месяц'!C11</f>
        <v>15000</v>
      </c>
      <c r="E14" s="4">
        <f>'2 месяц'!C6</f>
        <v>15000</v>
      </c>
      <c r="F14" s="4">
        <f t="shared" ref="F14:F17" si="2">SUM(D14:E14)</f>
        <v>30000</v>
      </c>
    </row>
    <row r="15" spans="3:8">
      <c r="C15" s="4" t="s">
        <v>14</v>
      </c>
      <c r="D15" s="4">
        <f>'1 месяц'!C28</f>
        <v>6000</v>
      </c>
      <c r="E15" s="4">
        <f>'2 месяц'!C15</f>
        <v>6000</v>
      </c>
      <c r="F15" s="4">
        <f t="shared" si="2"/>
        <v>12000</v>
      </c>
    </row>
    <row r="16" spans="3:8">
      <c r="C16" s="4" t="s">
        <v>15</v>
      </c>
      <c r="D16" s="4">
        <f>'1 месяц'!C38</f>
        <v>3000</v>
      </c>
      <c r="E16" s="4">
        <f>'2 месяц'!C56</f>
        <v>6000</v>
      </c>
      <c r="F16" s="4">
        <f t="shared" si="2"/>
        <v>9000</v>
      </c>
    </row>
    <row r="17" spans="3:6">
      <c r="C17" s="4" t="s">
        <v>27</v>
      </c>
      <c r="D17" s="4"/>
      <c r="E17" s="4">
        <f>'2 месяц'!C21</f>
        <v>22000</v>
      </c>
      <c r="F17" s="4">
        <f t="shared" si="2"/>
        <v>22000</v>
      </c>
    </row>
    <row r="18" spans="3:6">
      <c r="C18" s="5" t="s">
        <v>23</v>
      </c>
      <c r="D18" s="5">
        <f>SUM(D14:D17)</f>
        <v>24000</v>
      </c>
      <c r="E18" s="5">
        <f>SUM(E14:E17)</f>
        <v>49000</v>
      </c>
      <c r="F18" s="5">
        <f>SUM(F14:F17)</f>
        <v>73000</v>
      </c>
    </row>
    <row r="19" spans="3:6">
      <c r="C19" s="4" t="s">
        <v>28</v>
      </c>
      <c r="D19" s="4"/>
      <c r="E19" s="4"/>
      <c r="F19" s="4"/>
    </row>
    <row r="20" spans="3:6">
      <c r="C20" s="4" t="s">
        <v>11</v>
      </c>
      <c r="D20" s="4">
        <f>'1 месяц'!C5</f>
        <v>15000</v>
      </c>
      <c r="E20" s="4"/>
      <c r="F20" s="4">
        <f>SUM(D20:E20)</f>
        <v>15000</v>
      </c>
    </row>
    <row r="21" spans="3:6" ht="18.600000000000001" thickBot="1">
      <c r="C21" s="6" t="s">
        <v>23</v>
      </c>
      <c r="D21" s="6">
        <f>SUM(D20)</f>
        <v>15000</v>
      </c>
      <c r="E21" s="6">
        <f>SUM(E20)</f>
        <v>0</v>
      </c>
      <c r="F21" s="6">
        <f>SUM(F20)</f>
        <v>15000</v>
      </c>
    </row>
    <row r="22" spans="3:6" ht="18.600000000000001" thickBot="1">
      <c r="C22" s="7" t="s">
        <v>29</v>
      </c>
      <c r="D22" s="8">
        <f>SUM(D7,D12,D18,D21)</f>
        <v>281559</v>
      </c>
      <c r="E22" s="8">
        <f>SUM(E7,E12,E18,E21)</f>
        <v>348559</v>
      </c>
      <c r="F22" s="8">
        <f>SUM(F7,F12,F18,F21)</f>
        <v>630118</v>
      </c>
    </row>
    <row r="23" spans="3:6" ht="18.600000000000001" thickBot="1">
      <c r="C23" s="7" t="s">
        <v>16</v>
      </c>
      <c r="D23" s="8">
        <f>'1 месяц'!B40</f>
        <v>420000</v>
      </c>
      <c r="E23" s="8">
        <f>'2 месяц'!B58</f>
        <v>510000</v>
      </c>
      <c r="F23" s="8">
        <f>SUM(D23:E23)</f>
        <v>930000</v>
      </c>
    </row>
    <row r="24" spans="3:6" ht="18.600000000000001" thickBot="1">
      <c r="C24" s="7" t="s">
        <v>30</v>
      </c>
      <c r="D24" s="8">
        <f>D23-D22</f>
        <v>138441</v>
      </c>
      <c r="E24" s="8">
        <f>E23-E22</f>
        <v>161441</v>
      </c>
      <c r="F24" s="8">
        <f>F23-F22</f>
        <v>299882</v>
      </c>
    </row>
    <row r="25" spans="3:6" ht="18.600000000000001" thickBot="1">
      <c r="C25" s="7" t="s">
        <v>31</v>
      </c>
      <c r="D25" s="9">
        <f>D24/D23</f>
        <v>0.32962142857142857</v>
      </c>
      <c r="E25" s="9">
        <f>E24/E23</f>
        <v>0.31655098039215684</v>
      </c>
      <c r="F25" s="9">
        <f>F24/F23</f>
        <v>0.32245376344086024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месяц</vt:lpstr>
      <vt:lpstr>2 месяц</vt:lpstr>
      <vt:lpstr>Модель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Алексей Кушнарев</cp:lastModifiedBy>
  <dcterms:created xsi:type="dcterms:W3CDTF">2026-02-02T12:03:42Z</dcterms:created>
  <dcterms:modified xsi:type="dcterms:W3CDTF">2026-02-06T05:17:36Z</dcterms:modified>
</cp:coreProperties>
</file>